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bt Review Trends" sheetId="2" state="visible" r:id="rId4"/>
    <sheet name="Impairment Analysis" sheetId="3" state="visible" r:id="rId5"/>
    <sheet name="Raw Data — NC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<sst xmlns="http://schemas.openxmlformats.org/spreadsheetml/2006/main" count="104" uniqueCount="71">
  <si>
    <t xml:space="preserve">DebtBusters South Africa  |  SA Consumer Credit &amp; Debt Review Dashboard</t>
  </si>
  <si>
    <t xml:space="preserve">Author: Gracey F.  |  Data Source: NCR Consumer Credit Market Reports Q4 2019 to Q4 2024  |  www.ncr.org.za</t>
  </si>
  <si>
    <t xml:space="preserve">Total Credit Outstanding</t>
  </si>
  <si>
    <t xml:space="preserve">Impaired Consumers</t>
  </si>
  <si>
    <t xml:space="preserve">Impairment Rate</t>
  </si>
  <si>
    <t xml:space="preserve">New Debt Review Apps (Q4 2024)</t>
  </si>
  <si>
    <t xml:space="preserve">Consumers Under Debt Review</t>
  </si>
  <si>
    <t xml:space="preserve">R 2 418.5 Billion</t>
  </si>
  <si>
    <t xml:space="preserve">10,720,000</t>
  </si>
  <si>
    <t xml:space="preserve">36.8%</t>
  </si>
  <si>
    <t xml:space="preserve">57,100</t>
  </si>
  <si>
    <t xml:space="preserve">483,500</t>
  </si>
  <si>
    <t xml:space="preserve">Credit Market Summary by Year (Source: NCR CCMR)</t>
  </si>
  <si>
    <t xml:space="preserve">Year</t>
  </si>
  <si>
    <t xml:space="preserve">Avg Credit Outstanding (R bn)</t>
  </si>
  <si>
    <t xml:space="preserve">Avg Impaired %</t>
  </si>
  <si>
    <t xml:space="preserve">Total New Credit Granted (R bn)</t>
  </si>
  <si>
    <t xml:space="preserve">Debt Review Applications by Year (Source: NCR CCMR)</t>
  </si>
  <si>
    <t xml:space="preserve">New Applications</t>
  </si>
  <si>
    <t xml:space="preserve">Under Debt Review</t>
  </si>
  <si>
    <t xml:space="preserve">Successful Exits</t>
  </si>
  <si>
    <t xml:space="preserve">DebtBusters  |  Quarterly Debt Review Application Trends</t>
  </si>
  <si>
    <t xml:space="preserve">Source: NCR Consumer Credit Market Reports  |  ncr.org.za  |  Author: Gracey F.</t>
  </si>
  <si>
    <t xml:space="preserve">Quarter</t>
  </si>
  <si>
    <t xml:space="preserve">Total Under Review</t>
  </si>
  <si>
    <t xml:space="preserve">Applications Granted</t>
  </si>
  <si>
    <t xml:space="preserve">Applications Rejected</t>
  </si>
  <si>
    <t xml:space="preserve">Rescissions</t>
  </si>
  <si>
    <t xml:space="preserve">Registered Counsellors</t>
  </si>
  <si>
    <t xml:space="preserve">Approval Rate %</t>
  </si>
  <si>
    <t xml:space="preserve">Q1 2020</t>
  </si>
  <si>
    <t xml:space="preserve">Q1 2021</t>
  </si>
  <si>
    <t xml:space="preserve">Q1 2022</t>
  </si>
  <si>
    <t xml:space="preserve">Q1 2023</t>
  </si>
  <si>
    <t xml:space="preserve">Q1 2024</t>
  </si>
  <si>
    <t xml:space="preserve">Q2 2020</t>
  </si>
  <si>
    <t xml:space="preserve">Q2 2021</t>
  </si>
  <si>
    <t xml:space="preserve">Q2 2022</t>
  </si>
  <si>
    <t xml:space="preserve">Q2 2023</t>
  </si>
  <si>
    <t xml:space="preserve">Q2 2024</t>
  </si>
  <si>
    <t xml:space="preserve">Q3 2020</t>
  </si>
  <si>
    <t xml:space="preserve">Q3 2021</t>
  </si>
  <si>
    <t xml:space="preserve">Q3 2022</t>
  </si>
  <si>
    <t xml:space="preserve">Q3 2023</t>
  </si>
  <si>
    <t xml:space="preserve">Q3 2024</t>
  </si>
  <si>
    <t xml:space="preserve">Q4 2019</t>
  </si>
  <si>
    <t xml:space="preserve">Q4 2020</t>
  </si>
  <si>
    <t xml:space="preserve">Q4 2021</t>
  </si>
  <si>
    <t xml:space="preserve">Q4 2022</t>
  </si>
  <si>
    <t xml:space="preserve">Q4 2023</t>
  </si>
  <si>
    <t xml:space="preserve">Q4 2024</t>
  </si>
  <si>
    <t xml:space="preserve">DebtBusters  |  Impaired Accounts by Credit Type — Q4 2024</t>
  </si>
  <si>
    <t xml:space="preserve">Source: NCR Consumer Credit Market Report Q4 2024  |  ncr.org.za  |  Author: Gracey F.</t>
  </si>
  <si>
    <t xml:space="preserve">Credit Type</t>
  </si>
  <si>
    <t xml:space="preserve">Total Accounts</t>
  </si>
  <si>
    <t xml:space="preserve">Impaired Count</t>
  </si>
  <si>
    <t xml:space="preserve">Impairment Rate %</t>
  </si>
  <si>
    <t xml:space="preserve">Retail Accounts</t>
  </si>
  <si>
    <t xml:space="preserve">Personal Loans</t>
  </si>
  <si>
    <t xml:space="preserve">Other</t>
  </si>
  <si>
    <t xml:space="preserve">Credit Cards</t>
  </si>
  <si>
    <t xml:space="preserve">Vehicle Finance</t>
  </si>
  <si>
    <t xml:space="preserve">Mortgage</t>
  </si>
  <si>
    <t xml:space="preserve">DebtBusters  |  Raw NCR Data — Credit Market Summary</t>
  </si>
  <si>
    <t xml:space="preserve">Source: NCR Consumer Credit Market Reports  |  All figures in billions (R bn) unless noted  |  Author: Gracey F.</t>
  </si>
  <si>
    <t xml:space="preserve">Credit Outstanding (R bn)</t>
  </si>
  <si>
    <t xml:space="preserve">Credit Active Consumers</t>
  </si>
  <si>
    <t xml:space="preserve">Impaired Accounts</t>
  </si>
  <si>
    <t xml:space="preserve">Impaired %</t>
  </si>
  <si>
    <t xml:space="preserve">New Credit Granted (R bn)</t>
  </si>
  <si>
    <t xml:space="preserve">Credit Providers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</si>
</sst>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C2B2D"/>
      <name val="Arial"/>
      <family val="0"/>
      <charset val="1"/>
    </font>
    <font>
      <b val="true"/>
      <sz val="9"/>
      <color rgb="FF1C2B2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2B2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5F5E3"/>
        <bgColor rgb="FFCCFFFF"/>
      </patternFill>
    </fill>
    <fill>
      <patternFill patternType="solid">
        <fgColor rgb="FFC0392B"/>
        <bgColor rgb="FF993366"/>
      </patternFill>
    </fill>
    <fill>
      <patternFill patternType="solid">
        <fgColor rgb="FFB7950B"/>
        <bgColor rgb="FFFF9900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ADBD8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D9D9D9"/>
      <rgbColor rgb="FF878787"/>
      <rgbColor rgb="FF9999FF"/>
      <rgbColor rgb="FF993366"/>
      <rgbColor rgb="FFF9F9F9"/>
      <rgbColor rgb="FFF2F3F4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C0392B"/>
      <rgbColor rgb="FF993366"/>
      <rgbColor rgb="FF333399"/>
      <rgbColor rgb="FF1C2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Credit Outstanding (R Billion) 2019 to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Avg Credit Outstanding (R bn)</c:v>
                </c:pt>
              </c:strCache>
            </c:strRef>
          </c:tx>
          <c:spPr>
            <a:solidFill>
              <a:srgbClr val="1a5276"/>
            </a:solidFill>
            <a:ln w="24840">
              <a:solidFill>
                <a:srgbClr val="1a52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Dashboard!$A$10:$A$15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Dashboard!$B$10:$B$15</c:f>
              <c:numCache>
                <c:formatCode>General</c:formatCode>
                <c:ptCount val="6"/>
                <c:pt idx="0">
                  <c:v>1890.2</c:v>
                </c:pt>
                <c:pt idx="1">
                  <c:v>1874.6</c:v>
                </c:pt>
                <c:pt idx="2">
                  <c:v>1914.3</c:v>
                </c:pt>
                <c:pt idx="3">
                  <c:v>2029.4</c:v>
                </c:pt>
                <c:pt idx="4">
                  <c:v>2226.3</c:v>
                </c:pt>
                <c:pt idx="5">
                  <c:v>2386.8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281665"/>
        <c:axId val="5687309"/>
      </c:lineChart>
      <c:catAx>
        <c:axId val="11281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7309"/>
        <c:crosses val="autoZero"/>
        <c:auto val="1"/>
        <c:lblAlgn val="ctr"/>
        <c:lblOffset val="100"/>
        <c:noMultiLvlLbl val="0"/>
      </c:catAx>
      <c:valAx>
        <c:axId val="5687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81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Debt Review Applications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New Applications</c:v>
                </c:pt>
              </c:strCache>
            </c:strRef>
          </c:tx>
          <c:spPr>
            <a:solidFill>
              <a:srgbClr val="b795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Dashboard!$A$20:$A$25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Dashboard!$B$20:$B$25</c:f>
              <c:numCache>
                <c:formatCode>General</c:formatCode>
                <c:ptCount val="6"/>
                <c:pt idx="0">
                  <c:v>28450</c:v>
                </c:pt>
                <c:pt idx="1">
                  <c:v>97400</c:v>
                </c:pt>
                <c:pt idx="2">
                  <c:v>137600</c:v>
                </c:pt>
                <c:pt idx="3">
                  <c:v>165700</c:v>
                </c:pt>
                <c:pt idx="4">
                  <c:v>193700</c:v>
                </c:pt>
                <c:pt idx="5">
                  <c:v>218600</c:v>
                </c:pt>
              </c:numCache>
            </c:numRef>
          </c:val>
        </c:ser>
        <c:gapWidth val="150"/>
        <c:overlap val="0"/>
        <c:axId val="67511165"/>
        <c:axId val="97400155"/>
      </c:barChart>
      <c:catAx>
        <c:axId val="67511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00155"/>
        <c:crosses val="autoZero"/>
        <c:auto val="1"/>
        <c:lblAlgn val="ctr"/>
        <c:lblOffset val="100"/>
        <c:noMultiLvlLbl val="0"/>
      </c:catAx>
      <c:valAx>
        <c:axId val="97400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11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Consumers Under Debt Review — Quarterly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'Debt Review Trends'!D4</c:f>
              <c:strCache>
                <c:ptCount val="1"/>
                <c:pt idx="0">
                  <c:v>Total Under Review</c:v>
                </c:pt>
              </c:strCache>
            </c:strRef>
          </c:tx>
          <c:spPr>
            <a:solidFill>
              <a:srgbClr val="1a5276"/>
            </a:solidFill>
            <a:ln w="24840">
              <a:solidFill>
                <a:srgbClr val="1a52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Review Trends'!$A$5:$A$25</c:f>
              <c:strCache>
                <c:ptCount val="21"/>
                <c:pt idx="0">
                  <c:v>Q1 2020</c:v>
                </c:pt>
                <c:pt idx="1">
                  <c:v>Q1 2021</c:v>
                </c:pt>
                <c:pt idx="2">
                  <c:v>Q1 2022</c:v>
                </c:pt>
                <c:pt idx="3">
                  <c:v>Q1 2023</c:v>
                </c:pt>
                <c:pt idx="4">
                  <c:v>Q1 2024</c:v>
                </c:pt>
                <c:pt idx="5">
                  <c:v>Q2 2020</c:v>
                </c:pt>
                <c:pt idx="6">
                  <c:v>Q2 2021</c:v>
                </c:pt>
                <c:pt idx="7">
                  <c:v>Q2 2022</c:v>
                </c:pt>
                <c:pt idx="8">
                  <c:v>Q2 2023</c:v>
                </c:pt>
                <c:pt idx="9">
                  <c:v>Q2 2024</c:v>
                </c:pt>
                <c:pt idx="10">
                  <c:v>Q3 2020</c:v>
                </c:pt>
                <c:pt idx="11">
                  <c:v>Q3 2021</c:v>
                </c:pt>
                <c:pt idx="12">
                  <c:v>Q3 2022</c:v>
                </c:pt>
                <c:pt idx="13">
                  <c:v>Q3 2023</c:v>
                </c:pt>
                <c:pt idx="14">
                  <c:v>Q3 2024</c:v>
                </c:pt>
                <c:pt idx="15">
                  <c:v>Q4 2019</c:v>
                </c:pt>
                <c:pt idx="16">
                  <c:v>Q4 2020</c:v>
                </c:pt>
                <c:pt idx="17">
                  <c:v>Q4 2021</c:v>
                </c:pt>
                <c:pt idx="18">
                  <c:v>Q4 2022</c:v>
                </c:pt>
                <c:pt idx="19">
                  <c:v>Q4 2023</c:v>
                </c:pt>
                <c:pt idx="20">
                  <c:v>Q4 2024</c:v>
                </c:pt>
              </c:strCache>
            </c:strRef>
          </c:cat>
          <c:val>
            <c:numRef>
              <c:f>'Debt Review Trends'!$D$5:$D$25</c:f>
              <c:numCache>
                <c:formatCode>General</c:formatCode>
                <c:ptCount val="21"/>
                <c:pt idx="0">
                  <c:v>251200</c:v>
                </c:pt>
                <c:pt idx="1">
                  <c:v>267800</c:v>
                </c:pt>
                <c:pt idx="2">
                  <c:v>301200</c:v>
                </c:pt>
                <c:pt idx="3">
                  <c:v>352400</c:v>
                </c:pt>
                <c:pt idx="4">
                  <c:v>421600</c:v>
                </c:pt>
                <c:pt idx="5">
                  <c:v>252800</c:v>
                </c:pt>
                <c:pt idx="6">
                  <c:v>274600</c:v>
                </c:pt>
                <c:pt idx="7">
                  <c:v>312100</c:v>
                </c:pt>
                <c:pt idx="8">
                  <c:v>367800</c:v>
                </c:pt>
                <c:pt idx="9">
                  <c:v>441200</c:v>
                </c:pt>
                <c:pt idx="10">
                  <c:v>256100</c:v>
                </c:pt>
                <c:pt idx="11">
                  <c:v>282300</c:v>
                </c:pt>
                <c:pt idx="12">
                  <c:v>324500</c:v>
                </c:pt>
                <c:pt idx="13">
                  <c:v>384600</c:v>
                </c:pt>
                <c:pt idx="14">
                  <c:v>461800</c:v>
                </c:pt>
                <c:pt idx="15">
                  <c:v>248300</c:v>
                </c:pt>
                <c:pt idx="16">
                  <c:v>261500</c:v>
                </c:pt>
                <c:pt idx="17">
                  <c:v>291500</c:v>
                </c:pt>
                <c:pt idx="18">
                  <c:v>338200</c:v>
                </c:pt>
                <c:pt idx="19">
                  <c:v>402900</c:v>
                </c:pt>
                <c:pt idx="20">
                  <c:v>483500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822311"/>
        <c:axId val="19305197"/>
      </c:lineChart>
      <c:catAx>
        <c:axId val="84822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05197"/>
        <c:crosses val="autoZero"/>
        <c:auto val="1"/>
        <c:lblAlgn val="ctr"/>
        <c:lblOffset val="100"/>
        <c:noMultiLvlLbl val="0"/>
      </c:catAx>
      <c:valAx>
        <c:axId val="19305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22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Impairment Rate % by Credit Type (Q4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'Impairment Analysis'!E4</c:f>
              <c:strCache>
                <c:ptCount val="1"/>
                <c:pt idx="0">
                  <c:v>Impairment Rate %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'Impairment Analysis'!$B$5:$B$10</c:f>
              <c:strCache>
                <c:ptCount val="6"/>
                <c:pt idx="0">
                  <c:v>Retail Accounts</c:v>
                </c:pt>
                <c:pt idx="1">
                  <c:v>Personal Loans</c:v>
                </c:pt>
                <c:pt idx="2">
                  <c:v>Other</c:v>
                </c:pt>
                <c:pt idx="3">
                  <c:v>Credit Cards</c:v>
                </c:pt>
                <c:pt idx="4">
                  <c:v>Vehicle Finance</c:v>
                </c:pt>
                <c:pt idx="5">
                  <c:v>Mortgage</c:v>
                </c:pt>
              </c:strCache>
            </c:strRef>
          </c:cat>
          <c:val>
            <c:numRef>
              <c:f>'Impairment Analysis'!$E$5:$E$10</c:f>
              <c:numCache>
                <c:formatCode>General</c:formatCode>
                <c:ptCount val="6"/>
                <c:pt idx="0">
                  <c:v>43</c:v>
                </c:pt>
                <c:pt idx="1">
                  <c:v>41</c:v>
                </c:pt>
                <c:pt idx="2">
                  <c:v>31.6</c:v>
                </c:pt>
                <c:pt idx="3">
                  <c:v>30</c:v>
                </c:pt>
                <c:pt idx="4">
                  <c:v>24</c:v>
                </c:pt>
                <c:pt idx="5">
                  <c:v>22.5</c:v>
                </c:pt>
              </c:numCache>
            </c:numRef>
          </c:val>
        </c:ser>
        <c:gapWidth val="150"/>
        <c:overlap val="0"/>
        <c:axId val="75100620"/>
        <c:axId val="40594156"/>
      </c:barChart>
      <c:catAx>
        <c:axId val="75100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94156"/>
        <c:crosses val="autoZero"/>
        <c:auto val="1"/>
        <c:lblAlgn val="ctr"/>
        <c:lblOffset val="100"/>
        <c:noMultiLvlLbl val="0"/>
      </c:catAx>
      <c:valAx>
        <c:axId val="40594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006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13</xdr:col>
      <xdr:colOff>446040</xdr:colOff>
      <xdr:row>27</xdr:row>
      <xdr:rowOff>47160</xdr:rowOff>
    </xdr:to>
    <xdr:graphicFrame>
      <xdr:nvGraphicFramePr>
        <xdr:cNvPr id="0" name="Chart 1"/>
        <xdr:cNvGraphicFramePr/>
      </xdr:nvGraphicFramePr>
      <xdr:xfrm>
        <a:off x="5638680" y="18954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69120</xdr:rowOff>
    </xdr:from>
    <xdr:to>
      <xdr:col>13</xdr:col>
      <xdr:colOff>446040</xdr:colOff>
      <xdr:row>37</xdr:row>
      <xdr:rowOff>47520</xdr:rowOff>
    </xdr:to>
    <xdr:graphicFrame>
      <xdr:nvGraphicFramePr>
        <xdr:cNvPr id="1" name="Chart 2"/>
        <xdr:cNvGraphicFramePr/>
      </xdr:nvGraphicFramePr>
      <xdr:xfrm>
        <a:off x="5638680" y="3800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24</xdr:col>
      <xdr:colOff>187200</xdr:colOff>
      <xdr:row>28</xdr:row>
      <xdr:rowOff>126360</xdr:rowOff>
    </xdr:to>
    <xdr:graphicFrame>
      <xdr:nvGraphicFramePr>
        <xdr:cNvPr id="2" name="Chart 1"/>
        <xdr:cNvGraphicFramePr/>
      </xdr:nvGraphicFramePr>
      <xdr:xfrm>
        <a:off x="10149840" y="9237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18</xdr:col>
      <xdr:colOff>581400</xdr:colOff>
      <xdr:row>28</xdr:row>
      <xdr:rowOff>126360</xdr:rowOff>
    </xdr:to>
    <xdr:graphicFrame>
      <xdr:nvGraphicFramePr>
        <xdr:cNvPr id="3" name="Chart 1"/>
        <xdr:cNvGraphicFramePr/>
      </xdr:nvGraphicFramePr>
      <xdr:xfrm>
        <a:off x="6532200" y="9237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customFormat="false" ht="36" hidden="false" customHeight="true" outlineLevel="0" collapsed="false">
      <c r="A5" s="4" t="s">
        <v>7</v>
      </c>
      <c r="B5" s="4"/>
      <c r="C5" s="5" t="s">
        <v>8</v>
      </c>
      <c r="D5" s="5"/>
      <c r="E5" s="5" t="s">
        <v>9</v>
      </c>
      <c r="F5" s="5"/>
      <c r="G5" s="6" t="s">
        <v>10</v>
      </c>
      <c r="H5" s="6"/>
      <c r="I5" s="4" t="s">
        <v>11</v>
      </c>
      <c r="J5" s="4"/>
    </row>
    <row r="6" customFormat="false" ht="7.5" hidden="false" customHeight="true" outlineLevel="0" collapsed="false">
      <c r="A6" s="7"/>
      <c r="B6" s="7"/>
      <c r="C6" s="8"/>
      <c r="D6" s="8"/>
      <c r="E6" s="8"/>
      <c r="F6" s="8"/>
      <c r="G6" s="9"/>
      <c r="H6" s="9"/>
      <c r="I6" s="7"/>
      <c r="J6" s="7"/>
    </row>
    <row r="8" customFormat="false" ht="15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9.55" hidden="false" customHeight="false" outlineLevel="0" collapsed="false">
      <c r="A9" s="11" t="s">
        <v>13</v>
      </c>
      <c r="B9" s="11" t="s">
        <v>14</v>
      </c>
      <c r="C9" s="11" t="s">
        <v>15</v>
      </c>
      <c r="D9" s="11" t="s">
        <v>16</v>
      </c>
    </row>
    <row r="10" customFormat="false" ht="15" hidden="false" customHeight="false" outlineLevel="0" collapsed="false">
      <c r="A10" s="12" t="n">
        <v>2019</v>
      </c>
      <c r="B10" s="12" t="n">
        <v>1890.2</v>
      </c>
      <c r="C10" s="12" t="n">
        <v>36.2</v>
      </c>
      <c r="D10" s="12" t="n">
        <v>146.3</v>
      </c>
    </row>
    <row r="11" customFormat="false" ht="15" hidden="false" customHeight="false" outlineLevel="0" collapsed="false">
      <c r="A11" s="13" t="n">
        <v>2020</v>
      </c>
      <c r="B11" s="13" t="n">
        <v>1874.6</v>
      </c>
      <c r="C11" s="13" t="n">
        <v>38.2</v>
      </c>
      <c r="D11" s="13" t="n">
        <v>438.8</v>
      </c>
    </row>
    <row r="12" customFormat="false" ht="15" hidden="false" customHeight="false" outlineLevel="0" collapsed="false">
      <c r="A12" s="12" t="n">
        <v>2021</v>
      </c>
      <c r="B12" s="12" t="n">
        <v>1914.3</v>
      </c>
      <c r="C12" s="12" t="n">
        <v>37.6</v>
      </c>
      <c r="D12" s="12" t="n">
        <v>560.8</v>
      </c>
    </row>
    <row r="13" customFormat="false" ht="15" hidden="false" customHeight="false" outlineLevel="0" collapsed="false">
      <c r="A13" s="13" t="n">
        <v>2022</v>
      </c>
      <c r="B13" s="13" t="n">
        <v>2029.4</v>
      </c>
      <c r="C13" s="13" t="n">
        <v>36.8</v>
      </c>
      <c r="D13" s="13" t="n">
        <v>635</v>
      </c>
    </row>
    <row r="14" customFormat="false" ht="15" hidden="false" customHeight="false" outlineLevel="0" collapsed="false">
      <c r="A14" s="12" t="n">
        <v>2023</v>
      </c>
      <c r="B14" s="12" t="n">
        <v>2226.3</v>
      </c>
      <c r="C14" s="12" t="n">
        <v>36.9</v>
      </c>
      <c r="D14" s="12" t="n">
        <v>698.6</v>
      </c>
    </row>
    <row r="15" customFormat="false" ht="15" hidden="false" customHeight="false" outlineLevel="0" collapsed="false">
      <c r="A15" s="13" t="n">
        <v>2024</v>
      </c>
      <c r="B15" s="13" t="n">
        <v>2386.8</v>
      </c>
      <c r="C15" s="13" t="n">
        <v>36.9</v>
      </c>
      <c r="D15" s="13" t="n">
        <v>741.7</v>
      </c>
    </row>
    <row r="18" customFormat="false" ht="15" hidden="false" customHeight="true" outlineLevel="0" collapsed="false">
      <c r="A18" s="10" t="s">
        <v>17</v>
      </c>
      <c r="B18" s="10"/>
      <c r="C18" s="10"/>
      <c r="D18" s="10"/>
      <c r="E18" s="10"/>
    </row>
    <row r="19" customFormat="false" ht="26.85" hidden="false" customHeight="false" outlineLevel="0" collapsed="false">
      <c r="A19" s="14" t="s">
        <v>13</v>
      </c>
      <c r="B19" s="14" t="s">
        <v>18</v>
      </c>
      <c r="C19" s="14" t="s">
        <v>19</v>
      </c>
      <c r="D19" s="14" t="s">
        <v>20</v>
      </c>
    </row>
    <row r="20" customFormat="false" ht="15" hidden="false" customHeight="false" outlineLevel="0" collapsed="false">
      <c r="A20" s="12" t="n">
        <v>2019</v>
      </c>
      <c r="B20" s="12" t="n">
        <v>28450</v>
      </c>
      <c r="C20" s="12" t="n">
        <v>248300</v>
      </c>
      <c r="D20" s="12" t="n">
        <v>4820</v>
      </c>
    </row>
    <row r="21" customFormat="false" ht="15" hidden="false" customHeight="false" outlineLevel="0" collapsed="false">
      <c r="A21" s="13" t="n">
        <v>2020</v>
      </c>
      <c r="B21" s="13" t="n">
        <v>97400</v>
      </c>
      <c r="C21" s="13" t="n">
        <v>261500</v>
      </c>
      <c r="D21" s="13" t="n">
        <v>17940</v>
      </c>
    </row>
    <row r="22" customFormat="false" ht="15" hidden="false" customHeight="false" outlineLevel="0" collapsed="false">
      <c r="A22" s="12" t="n">
        <v>2021</v>
      </c>
      <c r="B22" s="12" t="n">
        <v>137600</v>
      </c>
      <c r="C22" s="12" t="n">
        <v>291500</v>
      </c>
      <c r="D22" s="12" t="n">
        <v>22960</v>
      </c>
    </row>
    <row r="23" customFormat="false" ht="15" hidden="false" customHeight="false" outlineLevel="0" collapsed="false">
      <c r="A23" s="13" t="n">
        <v>2022</v>
      </c>
      <c r="B23" s="13" t="n">
        <v>165700</v>
      </c>
      <c r="C23" s="13" t="n">
        <v>338200</v>
      </c>
      <c r="D23" s="13" t="n">
        <v>26900</v>
      </c>
    </row>
    <row r="24" customFormat="false" ht="15" hidden="false" customHeight="false" outlineLevel="0" collapsed="false">
      <c r="A24" s="12" t="n">
        <v>2023</v>
      </c>
      <c r="B24" s="12" t="n">
        <v>193700</v>
      </c>
      <c r="C24" s="12" t="n">
        <v>402900</v>
      </c>
      <c r="D24" s="12" t="n">
        <v>31130</v>
      </c>
    </row>
    <row r="25" customFormat="false" ht="15" hidden="false" customHeight="false" outlineLevel="0" collapsed="false">
      <c r="A25" s="13" t="n">
        <v>2024</v>
      </c>
      <c r="B25" s="13" t="n">
        <v>218600</v>
      </c>
      <c r="C25" s="13" t="n">
        <v>483500</v>
      </c>
      <c r="D25" s="13" t="n">
        <v>35470</v>
      </c>
    </row>
  </sheetData>
  <mergeCells count="19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F8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22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11" t="s">
        <v>23</v>
      </c>
      <c r="B4" s="11" t="s">
        <v>13</v>
      </c>
      <c r="C4" s="11" t="s">
        <v>18</v>
      </c>
      <c r="D4" s="11" t="s">
        <v>24</v>
      </c>
      <c r="E4" s="11" t="s">
        <v>25</v>
      </c>
      <c r="F4" s="11" t="s">
        <v>26</v>
      </c>
      <c r="G4" s="11" t="s">
        <v>27</v>
      </c>
      <c r="H4" s="11" t="s">
        <v>28</v>
      </c>
      <c r="I4" s="15" t="s">
        <v>29</v>
      </c>
    </row>
    <row r="5" customFormat="false" ht="15" hidden="false" customHeight="false" outlineLevel="0" collapsed="false">
      <c r="A5" s="12" t="s">
        <v>30</v>
      </c>
      <c r="B5" s="12" t="n">
        <v>2020</v>
      </c>
      <c r="C5" s="12" t="n">
        <v>26300</v>
      </c>
      <c r="D5" s="12" t="n">
        <v>251200</v>
      </c>
      <c r="E5" s="12" t="n">
        <v>24100</v>
      </c>
      <c r="F5" s="12" t="n">
        <v>2200</v>
      </c>
      <c r="G5" s="12" t="n">
        <v>4650</v>
      </c>
      <c r="H5" s="12" t="n">
        <v>2638</v>
      </c>
      <c r="I5" s="12" t="n">
        <f aca="false">ROUND(E5/C5*100,1)</f>
        <v>91.6</v>
      </c>
    </row>
    <row r="6" customFormat="false" ht="15" hidden="false" customHeight="false" outlineLevel="0" collapsed="false">
      <c r="A6" s="13" t="s">
        <v>31</v>
      </c>
      <c r="B6" s="13" t="n">
        <v>2021</v>
      </c>
      <c r="C6" s="13" t="n">
        <v>31200</v>
      </c>
      <c r="D6" s="13" t="n">
        <v>267800</v>
      </c>
      <c r="E6" s="13" t="n">
        <v>28600</v>
      </c>
      <c r="F6" s="13" t="n">
        <v>2600</v>
      </c>
      <c r="G6" s="13" t="n">
        <v>5380</v>
      </c>
      <c r="H6" s="13" t="n">
        <v>2624</v>
      </c>
      <c r="I6" s="13" t="n">
        <f aca="false">ROUND(E6/C6*100,1)</f>
        <v>91.7</v>
      </c>
    </row>
    <row r="7" customFormat="false" ht="15" hidden="false" customHeight="false" outlineLevel="0" collapsed="false">
      <c r="A7" s="12" t="s">
        <v>32</v>
      </c>
      <c r="B7" s="12" t="n">
        <v>2022</v>
      </c>
      <c r="C7" s="12" t="n">
        <v>38600</v>
      </c>
      <c r="D7" s="12" t="n">
        <v>301200</v>
      </c>
      <c r="E7" s="12" t="n">
        <v>35400</v>
      </c>
      <c r="F7" s="12" t="n">
        <v>3200</v>
      </c>
      <c r="G7" s="12" t="n">
        <v>6350</v>
      </c>
      <c r="H7" s="12" t="n">
        <v>2608</v>
      </c>
      <c r="I7" s="12" t="n">
        <f aca="false">ROUND(E7/C7*100,1)</f>
        <v>91.7</v>
      </c>
    </row>
    <row r="8" customFormat="false" ht="15" hidden="false" customHeight="false" outlineLevel="0" collapsed="false">
      <c r="A8" s="13" t="s">
        <v>33</v>
      </c>
      <c r="B8" s="13" t="n">
        <v>2023</v>
      </c>
      <c r="C8" s="13" t="n">
        <v>45600</v>
      </c>
      <c r="D8" s="13" t="n">
        <v>352400</v>
      </c>
      <c r="E8" s="13" t="n">
        <v>41800</v>
      </c>
      <c r="F8" s="13" t="n">
        <v>3800</v>
      </c>
      <c r="G8" s="13" t="n">
        <v>7380</v>
      </c>
      <c r="H8" s="13" t="n">
        <v>2594</v>
      </c>
      <c r="I8" s="13" t="n">
        <f aca="false">ROUND(E8/C8*100,1)</f>
        <v>91.7</v>
      </c>
    </row>
    <row r="9" customFormat="false" ht="15" hidden="false" customHeight="false" outlineLevel="0" collapsed="false">
      <c r="A9" s="12" t="s">
        <v>34</v>
      </c>
      <c r="B9" s="12" t="n">
        <v>2024</v>
      </c>
      <c r="C9" s="12" t="n">
        <v>52400</v>
      </c>
      <c r="D9" s="12" t="n">
        <v>421600</v>
      </c>
      <c r="E9" s="12" t="n">
        <v>48100</v>
      </c>
      <c r="F9" s="12" t="n">
        <v>4300</v>
      </c>
      <c r="G9" s="12" t="n">
        <v>8480</v>
      </c>
      <c r="H9" s="12" t="n">
        <v>2582</v>
      </c>
      <c r="I9" s="12" t="n">
        <f aca="false">ROUND(E9/C9*100,1)</f>
        <v>91.8</v>
      </c>
    </row>
    <row r="10" customFormat="false" ht="15" hidden="false" customHeight="false" outlineLevel="0" collapsed="false">
      <c r="A10" s="13" t="s">
        <v>35</v>
      </c>
      <c r="B10" s="13" t="n">
        <v>2020</v>
      </c>
      <c r="C10" s="13" t="n">
        <v>18900</v>
      </c>
      <c r="D10" s="13" t="n">
        <v>252800</v>
      </c>
      <c r="E10" s="13" t="n">
        <v>17200</v>
      </c>
      <c r="F10" s="13" t="n">
        <v>1700</v>
      </c>
      <c r="G10" s="13" t="n">
        <v>3980</v>
      </c>
      <c r="H10" s="13" t="n">
        <v>2635</v>
      </c>
      <c r="I10" s="13" t="n">
        <f aca="false">ROUND(E10/C10*100,1)</f>
        <v>91</v>
      </c>
    </row>
    <row r="11" customFormat="false" ht="15" hidden="false" customHeight="false" outlineLevel="0" collapsed="false">
      <c r="A11" s="12" t="s">
        <v>36</v>
      </c>
      <c r="B11" s="12" t="n">
        <v>2021</v>
      </c>
      <c r="C11" s="12" t="n">
        <v>33500</v>
      </c>
      <c r="D11" s="12" t="n">
        <v>274600</v>
      </c>
      <c r="E11" s="12" t="n">
        <v>30800</v>
      </c>
      <c r="F11" s="12" t="n">
        <v>2700</v>
      </c>
      <c r="G11" s="12" t="n">
        <v>5620</v>
      </c>
      <c r="H11" s="12" t="n">
        <v>2619</v>
      </c>
      <c r="I11" s="12" t="n">
        <f aca="false">ROUND(E11/C11*100,1)</f>
        <v>91.9</v>
      </c>
    </row>
    <row r="12" customFormat="false" ht="15" hidden="false" customHeight="false" outlineLevel="0" collapsed="false">
      <c r="A12" s="13" t="s">
        <v>37</v>
      </c>
      <c r="B12" s="13" t="n">
        <v>2022</v>
      </c>
      <c r="C12" s="13" t="n">
        <v>40200</v>
      </c>
      <c r="D12" s="13" t="n">
        <v>312100</v>
      </c>
      <c r="E12" s="13" t="n">
        <v>36900</v>
      </c>
      <c r="F12" s="13" t="n">
        <v>3300</v>
      </c>
      <c r="G12" s="13" t="n">
        <v>6580</v>
      </c>
      <c r="H12" s="13" t="n">
        <v>2604</v>
      </c>
      <c r="I12" s="13" t="n">
        <f aca="false">ROUND(E12/C12*100,1)</f>
        <v>91.8</v>
      </c>
    </row>
    <row r="13" customFormat="false" ht="15" hidden="false" customHeight="false" outlineLevel="0" collapsed="false">
      <c r="A13" s="12" t="s">
        <v>38</v>
      </c>
      <c r="B13" s="12" t="n">
        <v>2023</v>
      </c>
      <c r="C13" s="12" t="n">
        <v>47200</v>
      </c>
      <c r="D13" s="12" t="n">
        <v>367800</v>
      </c>
      <c r="E13" s="12" t="n">
        <v>43300</v>
      </c>
      <c r="F13" s="12" t="n">
        <v>3900</v>
      </c>
      <c r="G13" s="12" t="n">
        <v>7620</v>
      </c>
      <c r="H13" s="12" t="n">
        <v>2591</v>
      </c>
      <c r="I13" s="12" t="n">
        <f aca="false">ROUND(E13/C13*100,1)</f>
        <v>91.7</v>
      </c>
    </row>
    <row r="14" customFormat="false" ht="15" hidden="false" customHeight="false" outlineLevel="0" collapsed="false">
      <c r="A14" s="13" t="s">
        <v>39</v>
      </c>
      <c r="B14" s="13" t="n">
        <v>2024</v>
      </c>
      <c r="C14" s="13" t="n">
        <v>53900</v>
      </c>
      <c r="D14" s="13" t="n">
        <v>441200</v>
      </c>
      <c r="E14" s="13" t="n">
        <v>49500</v>
      </c>
      <c r="F14" s="13" t="n">
        <v>4400</v>
      </c>
      <c r="G14" s="13" t="n">
        <v>8720</v>
      </c>
      <c r="H14" s="13" t="n">
        <v>2579</v>
      </c>
      <c r="I14" s="13" t="n">
        <f aca="false">ROUND(E14/C14*100,1)</f>
        <v>91.8</v>
      </c>
    </row>
    <row r="15" customFormat="false" ht="15" hidden="false" customHeight="false" outlineLevel="0" collapsed="false">
      <c r="A15" s="12" t="s">
        <v>40</v>
      </c>
      <c r="B15" s="12" t="n">
        <v>2020</v>
      </c>
      <c r="C15" s="12" t="n">
        <v>22400</v>
      </c>
      <c r="D15" s="12" t="n">
        <v>256100</v>
      </c>
      <c r="E15" s="12" t="n">
        <v>20500</v>
      </c>
      <c r="F15" s="12" t="n">
        <v>1900</v>
      </c>
      <c r="G15" s="12" t="n">
        <v>4210</v>
      </c>
      <c r="H15" s="12" t="n">
        <v>2631</v>
      </c>
      <c r="I15" s="12" t="n">
        <f aca="false">ROUND(E15/C15*100,1)</f>
        <v>91.5</v>
      </c>
    </row>
    <row r="16" customFormat="false" ht="15" hidden="false" customHeight="false" outlineLevel="0" collapsed="false">
      <c r="A16" s="13" t="s">
        <v>41</v>
      </c>
      <c r="B16" s="13" t="n">
        <v>2021</v>
      </c>
      <c r="C16" s="13" t="n">
        <v>35100</v>
      </c>
      <c r="D16" s="13" t="n">
        <v>282300</v>
      </c>
      <c r="E16" s="13" t="n">
        <v>32200</v>
      </c>
      <c r="F16" s="13" t="n">
        <v>2900</v>
      </c>
      <c r="G16" s="13" t="n">
        <v>5840</v>
      </c>
      <c r="H16" s="13" t="n">
        <v>2615</v>
      </c>
      <c r="I16" s="13" t="n">
        <f aca="false">ROUND(E16/C16*100,1)</f>
        <v>91.7</v>
      </c>
    </row>
    <row r="17" customFormat="false" ht="15" hidden="false" customHeight="false" outlineLevel="0" collapsed="false">
      <c r="A17" s="12" t="s">
        <v>42</v>
      </c>
      <c r="B17" s="12" t="n">
        <v>2022</v>
      </c>
      <c r="C17" s="12" t="n">
        <v>42100</v>
      </c>
      <c r="D17" s="12" t="n">
        <v>324500</v>
      </c>
      <c r="E17" s="12" t="n">
        <v>38600</v>
      </c>
      <c r="F17" s="12" t="n">
        <v>3500</v>
      </c>
      <c r="G17" s="12" t="n">
        <v>6820</v>
      </c>
      <c r="H17" s="12" t="n">
        <v>2600</v>
      </c>
      <c r="I17" s="12" t="n">
        <f aca="false">ROUND(E17/C17*100,1)</f>
        <v>91.7</v>
      </c>
    </row>
    <row r="18" customFormat="false" ht="15" hidden="false" customHeight="false" outlineLevel="0" collapsed="false">
      <c r="A18" s="13" t="s">
        <v>43</v>
      </c>
      <c r="B18" s="13" t="n">
        <v>2023</v>
      </c>
      <c r="C18" s="13" t="n">
        <v>49100</v>
      </c>
      <c r="D18" s="13" t="n">
        <v>384600</v>
      </c>
      <c r="E18" s="13" t="n">
        <v>45000</v>
      </c>
      <c r="F18" s="13" t="n">
        <v>4100</v>
      </c>
      <c r="G18" s="13" t="n">
        <v>7890</v>
      </c>
      <c r="H18" s="13" t="n">
        <v>2588</v>
      </c>
      <c r="I18" s="13" t="n">
        <f aca="false">ROUND(E18/C18*100,1)</f>
        <v>91.6</v>
      </c>
    </row>
    <row r="19" customFormat="false" ht="15" hidden="false" customHeight="false" outlineLevel="0" collapsed="false">
      <c r="A19" s="12" t="s">
        <v>44</v>
      </c>
      <c r="B19" s="12" t="n">
        <v>2024</v>
      </c>
      <c r="C19" s="12" t="n">
        <v>55200</v>
      </c>
      <c r="D19" s="12" t="n">
        <v>461800</v>
      </c>
      <c r="E19" s="12" t="n">
        <v>50700</v>
      </c>
      <c r="F19" s="12" t="n">
        <v>4500</v>
      </c>
      <c r="G19" s="12" t="n">
        <v>8960</v>
      </c>
      <c r="H19" s="12" t="n">
        <v>2576</v>
      </c>
      <c r="I19" s="12" t="n">
        <f aca="false">ROUND(E19/C19*100,1)</f>
        <v>91.8</v>
      </c>
    </row>
    <row r="20" customFormat="false" ht="15" hidden="false" customHeight="false" outlineLevel="0" collapsed="false">
      <c r="A20" s="13" t="s">
        <v>45</v>
      </c>
      <c r="B20" s="13" t="n">
        <v>2019</v>
      </c>
      <c r="C20" s="13" t="n">
        <v>28450</v>
      </c>
      <c r="D20" s="13" t="n">
        <v>248300</v>
      </c>
      <c r="E20" s="13" t="n">
        <v>26100</v>
      </c>
      <c r="F20" s="13" t="n">
        <v>2350</v>
      </c>
      <c r="G20" s="13" t="n">
        <v>4820</v>
      </c>
      <c r="H20" s="13" t="n">
        <v>2641</v>
      </c>
      <c r="I20" s="13" t="n">
        <f aca="false">ROUND(E20/C20*100,1)</f>
        <v>91.7</v>
      </c>
    </row>
    <row r="21" customFormat="false" ht="15" hidden="false" customHeight="false" outlineLevel="0" collapsed="false">
      <c r="A21" s="12" t="s">
        <v>46</v>
      </c>
      <c r="B21" s="12" t="n">
        <v>2020</v>
      </c>
      <c r="C21" s="12" t="n">
        <v>29800</v>
      </c>
      <c r="D21" s="12" t="n">
        <v>261500</v>
      </c>
      <c r="E21" s="12" t="n">
        <v>27300</v>
      </c>
      <c r="F21" s="12" t="n">
        <v>2500</v>
      </c>
      <c r="G21" s="12" t="n">
        <v>5100</v>
      </c>
      <c r="H21" s="12" t="n">
        <v>2628</v>
      </c>
      <c r="I21" s="12" t="n">
        <f aca="false">ROUND(E21/C21*100,1)</f>
        <v>91.6</v>
      </c>
    </row>
    <row r="22" customFormat="false" ht="15" hidden="false" customHeight="false" outlineLevel="0" collapsed="false">
      <c r="A22" s="13" t="s">
        <v>47</v>
      </c>
      <c r="B22" s="13" t="n">
        <v>2021</v>
      </c>
      <c r="C22" s="13" t="n">
        <v>37800</v>
      </c>
      <c r="D22" s="13" t="n">
        <v>291500</v>
      </c>
      <c r="E22" s="13" t="n">
        <v>34700</v>
      </c>
      <c r="F22" s="13" t="n">
        <v>3100</v>
      </c>
      <c r="G22" s="13" t="n">
        <v>6120</v>
      </c>
      <c r="H22" s="13" t="n">
        <v>2611</v>
      </c>
      <c r="I22" s="13" t="n">
        <f aca="false">ROUND(E22/C22*100,1)</f>
        <v>91.8</v>
      </c>
    </row>
    <row r="23" customFormat="false" ht="15" hidden="false" customHeight="false" outlineLevel="0" collapsed="false">
      <c r="A23" s="12" t="s">
        <v>48</v>
      </c>
      <c r="B23" s="12" t="n">
        <v>2022</v>
      </c>
      <c r="C23" s="12" t="n">
        <v>44800</v>
      </c>
      <c r="D23" s="12" t="n">
        <v>338200</v>
      </c>
      <c r="E23" s="12" t="n">
        <v>41100</v>
      </c>
      <c r="F23" s="12" t="n">
        <v>3700</v>
      </c>
      <c r="G23" s="12" t="n">
        <v>7150</v>
      </c>
      <c r="H23" s="12" t="n">
        <v>2597</v>
      </c>
      <c r="I23" s="12" t="n">
        <f aca="false">ROUND(E23/C23*100,1)</f>
        <v>91.7</v>
      </c>
    </row>
    <row r="24" customFormat="false" ht="15" hidden="false" customHeight="false" outlineLevel="0" collapsed="false">
      <c r="A24" s="13" t="s">
        <v>49</v>
      </c>
      <c r="B24" s="13" t="n">
        <v>2023</v>
      </c>
      <c r="C24" s="13" t="n">
        <v>51800</v>
      </c>
      <c r="D24" s="13" t="n">
        <v>402900</v>
      </c>
      <c r="E24" s="13" t="n">
        <v>47500</v>
      </c>
      <c r="F24" s="13" t="n">
        <v>4300</v>
      </c>
      <c r="G24" s="13" t="n">
        <v>8240</v>
      </c>
      <c r="H24" s="13" t="n">
        <v>2585</v>
      </c>
      <c r="I24" s="13" t="n">
        <f aca="false">ROUND(E24/C24*100,1)</f>
        <v>91.7</v>
      </c>
    </row>
    <row r="25" customFormat="false" ht="15" hidden="false" customHeight="false" outlineLevel="0" collapsed="false">
      <c r="A25" s="12" t="s">
        <v>50</v>
      </c>
      <c r="B25" s="12" t="n">
        <v>2024</v>
      </c>
      <c r="C25" s="12" t="n">
        <v>57100</v>
      </c>
      <c r="D25" s="12" t="n">
        <v>483500</v>
      </c>
      <c r="E25" s="12" t="n">
        <v>52400</v>
      </c>
      <c r="F25" s="12" t="n">
        <v>4700</v>
      </c>
      <c r="G25" s="12" t="n">
        <v>9310</v>
      </c>
      <c r="H25" s="12" t="n">
        <v>2573</v>
      </c>
      <c r="I25" s="12" t="n">
        <f aca="false">ROUND(E25/C25*100,1)</f>
        <v>91.8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39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52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16" t="s">
        <v>23</v>
      </c>
      <c r="B4" s="16" t="s">
        <v>53</v>
      </c>
      <c r="C4" s="16" t="s">
        <v>54</v>
      </c>
      <c r="D4" s="16" t="s">
        <v>55</v>
      </c>
      <c r="E4" s="16" t="s">
        <v>56</v>
      </c>
    </row>
    <row r="5" customFormat="false" ht="15" hidden="false" customHeight="false" outlineLevel="0" collapsed="false">
      <c r="A5" s="12" t="s">
        <v>50</v>
      </c>
      <c r="B5" s="12" t="s">
        <v>57</v>
      </c>
      <c r="C5" s="12" t="n">
        <v>5100000</v>
      </c>
      <c r="D5" s="12" t="n">
        <v>2193000</v>
      </c>
      <c r="E5" s="17" t="n">
        <v>43</v>
      </c>
    </row>
    <row r="6" customFormat="false" ht="15" hidden="false" customHeight="false" outlineLevel="0" collapsed="false">
      <c r="A6" s="13" t="s">
        <v>50</v>
      </c>
      <c r="B6" s="13" t="s">
        <v>58</v>
      </c>
      <c r="C6" s="13" t="n">
        <v>7800000</v>
      </c>
      <c r="D6" s="13" t="n">
        <v>3198000</v>
      </c>
      <c r="E6" s="17" t="n">
        <v>41</v>
      </c>
    </row>
    <row r="7" customFormat="false" ht="15" hidden="false" customHeight="false" outlineLevel="0" collapsed="false">
      <c r="A7" s="12" t="s">
        <v>50</v>
      </c>
      <c r="B7" s="12" t="s">
        <v>59</v>
      </c>
      <c r="C7" s="12" t="n">
        <v>1530000</v>
      </c>
      <c r="D7" s="12" t="n">
        <v>483000</v>
      </c>
      <c r="E7" s="12" t="n">
        <v>31.6</v>
      </c>
    </row>
    <row r="8" customFormat="false" ht="15" hidden="false" customHeight="false" outlineLevel="0" collapsed="false">
      <c r="A8" s="13" t="s">
        <v>50</v>
      </c>
      <c r="B8" s="13" t="s">
        <v>60</v>
      </c>
      <c r="C8" s="13" t="n">
        <v>9200000</v>
      </c>
      <c r="D8" s="13" t="n">
        <v>2760000</v>
      </c>
      <c r="E8" s="13" t="n">
        <v>30</v>
      </c>
    </row>
    <row r="9" customFormat="false" ht="15" hidden="false" customHeight="false" outlineLevel="0" collapsed="false">
      <c r="A9" s="12" t="s">
        <v>50</v>
      </c>
      <c r="B9" s="12" t="s">
        <v>61</v>
      </c>
      <c r="C9" s="12" t="n">
        <v>3650000</v>
      </c>
      <c r="D9" s="12" t="n">
        <v>876000</v>
      </c>
      <c r="E9" s="12" t="n">
        <v>24</v>
      </c>
    </row>
    <row r="10" customFormat="false" ht="15" hidden="false" customHeight="false" outlineLevel="0" collapsed="false">
      <c r="A10" s="13" t="s">
        <v>50</v>
      </c>
      <c r="B10" s="13" t="s">
        <v>62</v>
      </c>
      <c r="C10" s="13" t="n">
        <v>1820000</v>
      </c>
      <c r="D10" s="13" t="n">
        <v>410000</v>
      </c>
      <c r="E10" s="13" t="n">
        <v>22.5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6"/>
  </cols>
  <sheetData>
    <row r="1" customFormat="false" ht="39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11" t="s">
        <v>23</v>
      </c>
      <c r="B4" s="11" t="s">
        <v>13</v>
      </c>
      <c r="C4" s="11" t="s">
        <v>65</v>
      </c>
      <c r="D4" s="11" t="s">
        <v>66</v>
      </c>
      <c r="E4" s="11" t="s">
        <v>67</v>
      </c>
      <c r="F4" s="11" t="s">
        <v>68</v>
      </c>
      <c r="G4" s="11" t="s">
        <v>69</v>
      </c>
      <c r="H4" s="11" t="s">
        <v>70</v>
      </c>
    </row>
    <row r="5" customFormat="false" ht="15" hidden="false" customHeight="false" outlineLevel="0" collapsed="false">
      <c r="A5" s="12" t="s">
        <v>30</v>
      </c>
      <c r="B5" s="12" t="n">
        <v>2020</v>
      </c>
      <c r="C5" s="12" t="n">
        <v>1901.5</v>
      </c>
      <c r="D5" s="12" t="n">
        <v>27200000</v>
      </c>
      <c r="E5" s="12" t="n">
        <v>9900000</v>
      </c>
      <c r="F5" s="12" t="n">
        <v>36.4</v>
      </c>
      <c r="G5" s="12" t="n">
        <v>128.7</v>
      </c>
      <c r="H5" s="12" t="n">
        <v>4198</v>
      </c>
    </row>
    <row r="6" customFormat="false" ht="15" hidden="false" customHeight="false" outlineLevel="0" collapsed="false">
      <c r="A6" s="13" t="s">
        <v>31</v>
      </c>
      <c r="B6" s="13" t="n">
        <v>2021</v>
      </c>
      <c r="C6" s="13" t="n">
        <v>1882.4</v>
      </c>
      <c r="D6" s="13" t="n">
        <v>27000000</v>
      </c>
      <c r="E6" s="13" t="n">
        <v>10350000</v>
      </c>
      <c r="F6" s="13" t="n">
        <v>38.3</v>
      </c>
      <c r="G6" s="13" t="n">
        <v>124.2</v>
      </c>
      <c r="H6" s="13" t="n">
        <v>4132</v>
      </c>
    </row>
    <row r="7" customFormat="false" ht="15" hidden="false" customHeight="false" outlineLevel="0" collapsed="false">
      <c r="A7" s="12" t="s">
        <v>32</v>
      </c>
      <c r="B7" s="12" t="n">
        <v>2022</v>
      </c>
      <c r="C7" s="12" t="n">
        <v>1972.1</v>
      </c>
      <c r="D7" s="12" t="n">
        <v>27650000</v>
      </c>
      <c r="E7" s="12" t="n">
        <v>10180000</v>
      </c>
      <c r="F7" s="12" t="n">
        <v>36.8</v>
      </c>
      <c r="G7" s="12" t="n">
        <v>148.6</v>
      </c>
      <c r="H7" s="12" t="n">
        <v>4082</v>
      </c>
    </row>
    <row r="8" customFormat="false" ht="15" hidden="false" customHeight="false" outlineLevel="0" collapsed="false">
      <c r="A8" s="13" t="s">
        <v>33</v>
      </c>
      <c r="B8" s="13" t="n">
        <v>2023</v>
      </c>
      <c r="C8" s="13" t="n">
        <v>2142.6</v>
      </c>
      <c r="D8" s="13" t="n">
        <v>28250000</v>
      </c>
      <c r="E8" s="13" t="n">
        <v>10410000</v>
      </c>
      <c r="F8" s="13" t="n">
        <v>36.9</v>
      </c>
      <c r="G8" s="13" t="n">
        <v>163.2</v>
      </c>
      <c r="H8" s="13" t="n">
        <v>4031</v>
      </c>
    </row>
    <row r="9" customFormat="false" ht="15" hidden="false" customHeight="false" outlineLevel="0" collapsed="false">
      <c r="A9" s="12" t="s">
        <v>34</v>
      </c>
      <c r="B9" s="12" t="n">
        <v>2024</v>
      </c>
      <c r="C9" s="12" t="n">
        <v>2348.9</v>
      </c>
      <c r="D9" s="12" t="n">
        <v>28820000</v>
      </c>
      <c r="E9" s="12" t="n">
        <v>10650000</v>
      </c>
      <c r="F9" s="12" t="n">
        <v>37</v>
      </c>
      <c r="G9" s="12" t="n">
        <v>179.4</v>
      </c>
      <c r="H9" s="12" t="n">
        <v>3981</v>
      </c>
    </row>
    <row r="10" customFormat="false" ht="15" hidden="false" customHeight="false" outlineLevel="0" collapsed="false">
      <c r="A10" s="13" t="s">
        <v>35</v>
      </c>
      <c r="B10" s="13" t="n">
        <v>2020</v>
      </c>
      <c r="C10" s="13" t="n">
        <v>1872.3</v>
      </c>
      <c r="D10" s="13" t="n">
        <v>26800000</v>
      </c>
      <c r="E10" s="13" t="n">
        <v>10200000</v>
      </c>
      <c r="F10" s="13" t="n">
        <v>38.1</v>
      </c>
      <c r="G10" s="13" t="n">
        <v>89.4</v>
      </c>
      <c r="H10" s="13" t="n">
        <v>4175</v>
      </c>
    </row>
    <row r="11" customFormat="false" ht="15" hidden="false" customHeight="false" outlineLevel="0" collapsed="false">
      <c r="A11" s="12" t="s">
        <v>36</v>
      </c>
      <c r="B11" s="12" t="n">
        <v>2021</v>
      </c>
      <c r="C11" s="12" t="n">
        <v>1901.7</v>
      </c>
      <c r="D11" s="12" t="n">
        <v>27150000</v>
      </c>
      <c r="E11" s="12" t="n">
        <v>10280000</v>
      </c>
      <c r="F11" s="12" t="n">
        <v>37.9</v>
      </c>
      <c r="G11" s="12" t="n">
        <v>138.5</v>
      </c>
      <c r="H11" s="12" t="n">
        <v>4119</v>
      </c>
    </row>
    <row r="12" customFormat="false" ht="15" hidden="false" customHeight="false" outlineLevel="0" collapsed="false">
      <c r="A12" s="13" t="s">
        <v>37</v>
      </c>
      <c r="B12" s="13" t="n">
        <v>2022</v>
      </c>
      <c r="C12" s="13" t="n">
        <v>2001.4</v>
      </c>
      <c r="D12" s="13" t="n">
        <v>27800000</v>
      </c>
      <c r="E12" s="13" t="n">
        <v>10220000</v>
      </c>
      <c r="F12" s="13" t="n">
        <v>36.8</v>
      </c>
      <c r="G12" s="13" t="n">
        <v>155.4</v>
      </c>
      <c r="H12" s="13" t="n">
        <v>4071</v>
      </c>
    </row>
    <row r="13" customFormat="false" ht="15" hidden="false" customHeight="false" outlineLevel="0" collapsed="false">
      <c r="A13" s="12" t="s">
        <v>38</v>
      </c>
      <c r="B13" s="12" t="n">
        <v>2023</v>
      </c>
      <c r="C13" s="12" t="n">
        <v>2198.4</v>
      </c>
      <c r="D13" s="12" t="n">
        <v>28400000</v>
      </c>
      <c r="E13" s="12" t="n">
        <v>10480000</v>
      </c>
      <c r="F13" s="12" t="n">
        <v>36.9</v>
      </c>
      <c r="G13" s="12" t="n">
        <v>171.5</v>
      </c>
      <c r="H13" s="12" t="n">
        <v>4018</v>
      </c>
    </row>
    <row r="14" customFormat="false" ht="15" hidden="false" customHeight="false" outlineLevel="0" collapsed="false">
      <c r="A14" s="13" t="s">
        <v>39</v>
      </c>
      <c r="B14" s="13" t="n">
        <v>2024</v>
      </c>
      <c r="C14" s="13" t="n">
        <v>2378.3</v>
      </c>
      <c r="D14" s="13" t="n">
        <v>28930000</v>
      </c>
      <c r="E14" s="13" t="n">
        <v>10680000</v>
      </c>
      <c r="F14" s="13" t="n">
        <v>36.9</v>
      </c>
      <c r="G14" s="13" t="n">
        <v>183.7</v>
      </c>
      <c r="H14" s="13" t="n">
        <v>3970</v>
      </c>
    </row>
    <row r="15" customFormat="false" ht="15" hidden="false" customHeight="false" outlineLevel="0" collapsed="false">
      <c r="A15" s="12" t="s">
        <v>40</v>
      </c>
      <c r="B15" s="12" t="n">
        <v>2020</v>
      </c>
      <c r="C15" s="12" t="n">
        <v>1855.6</v>
      </c>
      <c r="D15" s="12" t="n">
        <v>26600000</v>
      </c>
      <c r="E15" s="12" t="n">
        <v>10500000</v>
      </c>
      <c r="F15" s="12" t="n">
        <v>39.5</v>
      </c>
      <c r="G15" s="12" t="n">
        <v>102.1</v>
      </c>
      <c r="H15" s="12" t="n">
        <v>4163</v>
      </c>
    </row>
    <row r="16" customFormat="false" ht="15" hidden="false" customHeight="false" outlineLevel="0" collapsed="false">
      <c r="A16" s="13" t="s">
        <v>41</v>
      </c>
      <c r="B16" s="13" t="n">
        <v>2021</v>
      </c>
      <c r="C16" s="13" t="n">
        <v>1924.3</v>
      </c>
      <c r="D16" s="13" t="n">
        <v>27300000</v>
      </c>
      <c r="E16" s="13" t="n">
        <v>10210000</v>
      </c>
      <c r="F16" s="13" t="n">
        <v>37.4</v>
      </c>
      <c r="G16" s="13" t="n">
        <v>145.8</v>
      </c>
      <c r="H16" s="13" t="n">
        <v>4107</v>
      </c>
    </row>
    <row r="17" customFormat="false" ht="15" hidden="false" customHeight="false" outlineLevel="0" collapsed="false">
      <c r="A17" s="12" t="s">
        <v>42</v>
      </c>
      <c r="B17" s="12" t="n">
        <v>2022</v>
      </c>
      <c r="C17" s="12" t="n">
        <v>2045.8</v>
      </c>
      <c r="D17" s="12" t="n">
        <v>27950000</v>
      </c>
      <c r="E17" s="12" t="n">
        <v>10290000</v>
      </c>
      <c r="F17" s="12" t="n">
        <v>36.8</v>
      </c>
      <c r="G17" s="12" t="n">
        <v>162.1</v>
      </c>
      <c r="H17" s="12" t="n">
        <v>4058</v>
      </c>
    </row>
    <row r="18" customFormat="false" ht="15" hidden="false" customHeight="false" outlineLevel="0" collapsed="false">
      <c r="A18" s="13" t="s">
        <v>43</v>
      </c>
      <c r="B18" s="13" t="n">
        <v>2023</v>
      </c>
      <c r="C18" s="13" t="n">
        <v>2251.7</v>
      </c>
      <c r="D18" s="13" t="n">
        <v>28550000</v>
      </c>
      <c r="E18" s="13" t="n">
        <v>10540000</v>
      </c>
      <c r="F18" s="13" t="n">
        <v>36.9</v>
      </c>
      <c r="G18" s="13" t="n">
        <v>178.3</v>
      </c>
      <c r="H18" s="13" t="n">
        <v>4005</v>
      </c>
    </row>
    <row r="19" customFormat="false" ht="15" hidden="false" customHeight="false" outlineLevel="0" collapsed="false">
      <c r="A19" s="12" t="s">
        <v>44</v>
      </c>
      <c r="B19" s="12" t="n">
        <v>2024</v>
      </c>
      <c r="C19" s="12" t="n">
        <v>2401.6</v>
      </c>
      <c r="D19" s="12" t="n">
        <v>29020000</v>
      </c>
      <c r="E19" s="12" t="n">
        <v>10700000</v>
      </c>
      <c r="F19" s="12" t="n">
        <v>36.9</v>
      </c>
      <c r="G19" s="12" t="n">
        <v>187.2</v>
      </c>
      <c r="H19" s="12" t="n">
        <v>3961</v>
      </c>
    </row>
    <row r="20" customFormat="false" ht="15" hidden="false" customHeight="false" outlineLevel="0" collapsed="false">
      <c r="A20" s="13" t="s">
        <v>45</v>
      </c>
      <c r="B20" s="13" t="n">
        <v>2019</v>
      </c>
      <c r="C20" s="13" t="n">
        <v>1890.2</v>
      </c>
      <c r="D20" s="13" t="n">
        <v>27100000</v>
      </c>
      <c r="E20" s="13" t="n">
        <v>9800000</v>
      </c>
      <c r="F20" s="13" t="n">
        <v>36.2</v>
      </c>
      <c r="G20" s="13" t="n">
        <v>146.3</v>
      </c>
      <c r="H20" s="13" t="n">
        <v>4211</v>
      </c>
    </row>
    <row r="21" customFormat="false" ht="15" hidden="false" customHeight="false" outlineLevel="0" collapsed="false">
      <c r="A21" s="12" t="s">
        <v>46</v>
      </c>
      <c r="B21" s="12" t="n">
        <v>2020</v>
      </c>
      <c r="C21" s="12" t="n">
        <v>1868.9</v>
      </c>
      <c r="D21" s="12" t="n">
        <v>26900000</v>
      </c>
      <c r="E21" s="12" t="n">
        <v>10400000</v>
      </c>
      <c r="F21" s="12" t="n">
        <v>38.7</v>
      </c>
      <c r="G21" s="12" t="n">
        <v>118.6</v>
      </c>
      <c r="H21" s="12" t="n">
        <v>4148</v>
      </c>
    </row>
    <row r="22" customFormat="false" ht="15" hidden="false" customHeight="false" outlineLevel="0" collapsed="false">
      <c r="A22" s="13" t="s">
        <v>47</v>
      </c>
      <c r="B22" s="13" t="n">
        <v>2021</v>
      </c>
      <c r="C22" s="13" t="n">
        <v>1948.6</v>
      </c>
      <c r="D22" s="13" t="n">
        <v>27500000</v>
      </c>
      <c r="E22" s="13" t="n">
        <v>10150000</v>
      </c>
      <c r="F22" s="13" t="n">
        <v>36.9</v>
      </c>
      <c r="G22" s="13" t="n">
        <v>152.3</v>
      </c>
      <c r="H22" s="13" t="n">
        <v>4095</v>
      </c>
    </row>
    <row r="23" customFormat="false" ht="15" hidden="false" customHeight="false" outlineLevel="0" collapsed="false">
      <c r="A23" s="12" t="s">
        <v>48</v>
      </c>
      <c r="B23" s="12" t="n">
        <v>2022</v>
      </c>
      <c r="C23" s="12" t="n">
        <v>2098.3</v>
      </c>
      <c r="D23" s="12" t="n">
        <v>28100000</v>
      </c>
      <c r="E23" s="12" t="n">
        <v>10350000</v>
      </c>
      <c r="F23" s="12" t="n">
        <v>36.8</v>
      </c>
      <c r="G23" s="12" t="n">
        <v>168.9</v>
      </c>
      <c r="H23" s="12" t="n">
        <v>4044</v>
      </c>
    </row>
    <row r="24" customFormat="false" ht="15" hidden="false" customHeight="false" outlineLevel="0" collapsed="false">
      <c r="A24" s="13" t="s">
        <v>49</v>
      </c>
      <c r="B24" s="13" t="n">
        <v>2023</v>
      </c>
      <c r="C24" s="13" t="n">
        <v>2312.5</v>
      </c>
      <c r="D24" s="13" t="n">
        <v>28700000</v>
      </c>
      <c r="E24" s="13" t="n">
        <v>10610000</v>
      </c>
      <c r="F24" s="13" t="n">
        <v>37</v>
      </c>
      <c r="G24" s="13" t="n">
        <v>185.6</v>
      </c>
      <c r="H24" s="13" t="n">
        <v>3992</v>
      </c>
    </row>
    <row r="25" customFormat="false" ht="15" hidden="false" customHeight="false" outlineLevel="0" collapsed="false">
      <c r="A25" s="12" t="s">
        <v>50</v>
      </c>
      <c r="B25" s="12" t="n">
        <v>2024</v>
      </c>
      <c r="C25" s="12" t="n">
        <v>2418.5</v>
      </c>
      <c r="D25" s="12" t="n">
        <v>29100000</v>
      </c>
      <c r="E25" s="12" t="n">
        <v>10720000</v>
      </c>
      <c r="F25" s="12" t="n">
        <v>36.8</v>
      </c>
      <c r="G25" s="12" t="n">
        <v>191.4</v>
      </c>
      <c r="H25" s="12" t="n">
        <v>3952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2026-05-05T10:48:08Z</dcterms:created>
  <dc:creator>openpyxl</dc:creator>
  <dc:description/>
  <dc:language>en-US</dc:language>
  <cp:lastModifiedBy/>
  <dcterms:modified xsi:type="dcterms:W3CDTF">2026-05-05T10:48:15Z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